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gone.sharepoint.com/sites/BCProcessMPD/Shared Documents/Quality Documents/Baddi active formula list/"/>
    </mc:Choice>
  </mc:AlternateContent>
  <xr:revisionPtr revIDLastSave="1860" documentId="8_{6F31E02A-4D0F-4BD1-9F3F-AF844AFAF57F}" xr6:coauthVersionLast="47" xr6:coauthVersionMax="47" xr10:uidLastSave="{E270162E-DB8B-494A-B126-7C39608480DC}"/>
  <bookViews>
    <workbookView xWindow="-110" yWindow="-110" windowWidth="19420" windowHeight="11500" xr2:uid="{00000000-000D-0000-FFFF-FFFF00000000}"/>
  </bookViews>
  <sheets>
    <sheet name="ACTIVE FORMULA LIST Baddi " sheetId="13" r:id="rId1"/>
    <sheet name="Sheet1" sheetId="3" state="hidden" r:id="rId2"/>
    <sheet name="PointerStorage" sheetId="7" state="veryHidden" r:id="rId3"/>
  </sheets>
  <definedNames>
    <definedName name="_xlnm._FilterDatabase" localSheetId="0" hidden="1">'ACTIVE FORMULA LIST Baddi '!$A$2:$F$33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3" l="1"/>
  <c r="D21" i="3"/>
</calcChain>
</file>

<file path=xl/sharedStrings.xml><?xml version="1.0" encoding="utf-8"?>
<sst xmlns="http://schemas.openxmlformats.org/spreadsheetml/2006/main" count="195" uniqueCount="104">
  <si>
    <t>S.NO.</t>
  </si>
  <si>
    <t>H&amp;S LF Maverick</t>
  </si>
  <si>
    <t>H&amp;S Neem Maverick</t>
  </si>
  <si>
    <t>Premix</t>
  </si>
  <si>
    <t>Dilutor sle3s</t>
  </si>
  <si>
    <t xml:space="preserve">sodium LP BASE </t>
  </si>
  <si>
    <t>Salt solution 20%</t>
  </si>
  <si>
    <t>TECH.</t>
  </si>
  <si>
    <t>FOP#</t>
  </si>
  <si>
    <t>MI#</t>
  </si>
  <si>
    <t>BC162C</t>
  </si>
  <si>
    <t>Variant Name</t>
  </si>
  <si>
    <t>BC128o MN2510 0.5PO 0.70Vic HS</t>
  </si>
  <si>
    <t>BC128o MN2505 0.5PO 1.15PR HS</t>
  </si>
  <si>
    <t>BC128o MN2507 0.5PO 1.15PR HS</t>
  </si>
  <si>
    <t>BC128o MN2510 0.5PO 0.9PG HS</t>
  </si>
  <si>
    <t>BC128o MN2505 0.5PO 1.05TSM HS</t>
  </si>
  <si>
    <t>BC128o MN2506 0.5PO 0.675FL 0.225HIL HS</t>
  </si>
  <si>
    <t>BC162H VRc5018 0.5C 1.15PR HS</t>
  </si>
  <si>
    <t xml:space="preserve">Technology </t>
  </si>
  <si>
    <t>Baddi FOP details</t>
  </si>
  <si>
    <t>Climbazole Premix</t>
  </si>
  <si>
    <t>Head &amp; Shoulders 2in1 Anti - Dandruff Shampoo + Conditioner Menthol Fresh</t>
  </si>
  <si>
    <t>Head &amp; Shoulders 2in1 Anti - Dandruff Shampoo + Conditioner Shiny Black</t>
  </si>
  <si>
    <t>BC 128o</t>
  </si>
  <si>
    <t>H&amp;S SS 2IN1 Maverick</t>
  </si>
  <si>
    <t>H&amp;S AHF 2IN1 Maverick</t>
  </si>
  <si>
    <t>H&amp;S SB 2IN1 Maverick</t>
  </si>
  <si>
    <t>H&amp;S CM Maverick</t>
  </si>
  <si>
    <t>H&amp;S CM 2IN1 Maverick</t>
  </si>
  <si>
    <t>H&amp;S Active Protect 2in1 Maverick</t>
  </si>
  <si>
    <t>Head &amp; Shoulders 2in1 Anti - Dandruff Shampoo + Conditioner Soft &amp; Silky</t>
  </si>
  <si>
    <t>H&amp;S Daily Clean Anti- Dandruff Shampoo</t>
  </si>
  <si>
    <t>H&amp;S Daily Cool Anti- Dandruff Shampoo</t>
  </si>
  <si>
    <t>H&amp;S Daily Smooth Anti- Dandruff Shampoo</t>
  </si>
  <si>
    <t>H&amp;SAnti- Dandruff  Neem</t>
  </si>
  <si>
    <t>Pantene Pro-V Hair Science Luscious Thick shampoo</t>
  </si>
  <si>
    <t>Pantene Pro-V Hair Science Deep Repair shampoo</t>
  </si>
  <si>
    <t>Pantene Pro-V Hair Science Hair fall Control shampoo</t>
  </si>
  <si>
    <t>Pantene Pro-V Hair Science Healthy Shine shampoo</t>
  </si>
  <si>
    <t>Pantene Pro-V Hair Science Silky Smooth shampoo</t>
  </si>
  <si>
    <t>Pantene Hair Science Lively Clean shampoo</t>
  </si>
  <si>
    <t>BC162C WM2500 0.8RL PTN</t>
  </si>
  <si>
    <t>Pantene Hair Science Silky Smooth shampoo 2in1</t>
  </si>
  <si>
    <t>single</t>
  </si>
  <si>
    <t>Dual</t>
  </si>
  <si>
    <t>Single</t>
  </si>
  <si>
    <t>Single/ Dual</t>
  </si>
  <si>
    <t>BC128o MN2515 0.5PO 0.70VicLCV HS</t>
  </si>
  <si>
    <t>BC128o MN2510 0.5PO 0.70VicLCV HS</t>
  </si>
  <si>
    <t>Pantene Pro-V Hair Fall Control Conditioner</t>
  </si>
  <si>
    <t>BC226MD70-29 3.0Gly 1.5TAS KTN 0.7GS PN</t>
  </si>
  <si>
    <t>Pantene Pro-V Silky Smooth Conditioner</t>
  </si>
  <si>
    <t>BC226M68-25 2.0TAS KTN 0.7GS PN</t>
  </si>
  <si>
    <t>BC162H VRc5029 0.5C 0.7Vic LCV KTN HS</t>
  </si>
  <si>
    <t>H&amp;S Anti-Dandruff shampoo Silky Black</t>
  </si>
  <si>
    <t>BC128o MN2505 0.5PO 0.70Vic 0.05KTN HS</t>
  </si>
  <si>
    <t>BC162H VRc5019 0.5C 0.7Vic LCV KTN HS</t>
  </si>
  <si>
    <t>H&amp;S Anti-Dandruff shampoo Smooth &amp; Silky</t>
  </si>
  <si>
    <t>BC128o MN2513 0.5PO 0.70Vic 0.05KTN HS</t>
  </si>
  <si>
    <t xml:space="preserve">H&amp;S Anti-Dandruff shampoo Anti- Hairfall </t>
  </si>
  <si>
    <t>BC128o MN2508 0.5PO 0.70Vic 0.05KTN HS</t>
  </si>
  <si>
    <t>BC128c MN2518 0.5C 1FR HS</t>
  </si>
  <si>
    <t>BC128c MN2518 0.5C 1.05PR HS</t>
  </si>
  <si>
    <t xml:space="preserve">BC128c MN2518 O.5C 0.70Vic LCV KTN </t>
  </si>
  <si>
    <t>BC128c MN2518 0.5C 0.675FL 0.225HIL HS</t>
  </si>
  <si>
    <t>BC128o MN2515 0.5PO 1.05PR HS</t>
  </si>
  <si>
    <t>Head &amp; Shoulders 7in1 Anti-Dandruff Shampoo</t>
  </si>
  <si>
    <t>BC128o MN2505 0.5PO KTN 1FLM HS</t>
  </si>
  <si>
    <t>S/N</t>
  </si>
  <si>
    <t>Brand</t>
  </si>
  <si>
    <t>FOP #</t>
  </si>
  <si>
    <t>Title</t>
  </si>
  <si>
    <t>Plant Impacted</t>
  </si>
  <si>
    <t>Country of Sale</t>
  </si>
  <si>
    <t>Katha Baddi</t>
  </si>
  <si>
    <t>India, BD, NP, SL</t>
  </si>
  <si>
    <t>Dosage level in FOP</t>
  </si>
  <si>
    <t>Note: Plese don't change the values of this Sheet!</t>
  </si>
  <si>
    <t>Ribbon</t>
  </si>
  <si>
    <t>Excel App</t>
  </si>
  <si>
    <t>Excel Window</t>
  </si>
  <si>
    <t>Excel Controls</t>
  </si>
  <si>
    <t>BC162H VR5040 1.2GS PTN</t>
  </si>
  <si>
    <t>BC162H VR5042 1.2GS PTN</t>
  </si>
  <si>
    <t xml:space="preserve">BC162H VRC </t>
  </si>
  <si>
    <t>BC128C</t>
  </si>
  <si>
    <t xml:space="preserve">
BC162H VR 2IN1</t>
  </si>
  <si>
    <t>BC226 (Conditioner )</t>
  </si>
  <si>
    <t>PTN BC162H VR</t>
  </si>
  <si>
    <t>H&amp;S  Deep Cleanse anti dandruff Shampoo</t>
  </si>
  <si>
    <t>H&amp;S Anti- Dandruff shampoo Neem</t>
  </si>
  <si>
    <t xml:space="preserve">H&amp;S Charcoal Deep Clean Anti Dandruff Shampoo  </t>
  </si>
  <si>
    <t>BC128c PN40S12 0.5C 1.1FR HS</t>
  </si>
  <si>
    <t>BC128c PN40S12 0.5C 1.15PR HS</t>
  </si>
  <si>
    <t>BC128c PN40S12 0.5C 0.80Vic LCV KTN</t>
  </si>
  <si>
    <t>BC128c PN40S12 0.5C 0.7FL 0.3HIL HS</t>
  </si>
  <si>
    <t>BC128c PN40S05 0.5C 1.1FLM HS</t>
  </si>
  <si>
    <t>Pantene Hair Science Hairfall Control shampoo</t>
  </si>
  <si>
    <t>Pantene Hair Science Deep Repair 2in1</t>
  </si>
  <si>
    <t xml:space="preserve">Sodium HC BASE </t>
  </si>
  <si>
    <t>Intermediate</t>
  </si>
  <si>
    <t>Surfactant</t>
  </si>
  <si>
    <t xml:space="preserve">Silicon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</si>
</sst>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medium">
        <color rgb="FFD1D1D1"/>
      </left>
      <right style="medium">
        <color rgb="FFD1D1D1"/>
      </right>
      <top/>
      <bottom style="medium">
        <color rgb="FFD1D1D1"/>
      </bottom>
      <diagonal/>
    </border>
    <border>
      <left/>
      <right style="medium">
        <color rgb="FFD1D1D1"/>
      </right>
      <top/>
      <bottom style="medium">
        <color rgb="FFD1D1D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5" fontId="0" fillId="0" borderId="0" xfId="0" applyNumberFormat="1"/>
    <xf numFmtId="0" fontId="4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6" borderId="1" xfId="0" applyFont="1" applyFill="1" applyBorder="1" applyAlignment="1" applyProtection="1">
      <alignment horizontal="left" vertical="center"/>
      <protection locked="0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5" fillId="6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6" borderId="13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5" xfId="0" applyFont="1" applyFill="1" applyBorder="1" applyAlignment="1" applyProtection="1">
      <alignment horizontal="left" vertical="center"/>
      <protection locked="0"/>
    </xf>
    <xf numFmtId="0" fontId="0" fillId="0" borderId="1" xfId="0" applyBorder="1"/>
    <xf numFmtId="0" fontId="1" fillId="6" borderId="13" xfId="0" applyFont="1" applyFill="1" applyBorder="1"/>
    <xf numFmtId="0" fontId="0" fillId="0" borderId="15" xfId="0" applyBorder="1"/>
    <xf numFmtId="0" fontId="1" fillId="0" borderId="1" xfId="0" applyFont="1" applyBorder="1"/>
    <xf numFmtId="0" fontId="1" fillId="0" borderId="15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4">
    <cellStyle name="Normal" xfId="0" builtinId="0"/>
    <cellStyle name="Normal 10" xfId="1" xr:uid="{993FAFE8-190E-4537-BF78-D8C7A301B087}"/>
    <cellStyle name="Normal 2" xfId="2" xr:uid="{BE8A6460-7794-48D3-8C1F-39E75B9E31EB}"/>
    <cellStyle name="Normal 3 2" xfId="3" xr:uid="{65D14F94-0F67-4DC1-A997-91261D9FD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92B1-42EA-4472-B2B1-34BC82AB26F9}">
  <dimension ref="A1:G38"/>
  <sheetViews>
    <sheetView tabSelected="1" workbookViewId="0">
      <selection activeCell="B34" sqref="B34:B38"/>
    </sheetView>
  </sheetViews>
  <sheetFormatPr defaultRowHeight="14.5" x14ac:dyDescent="0.35"/>
  <cols>
    <col min="1" max="1" width="8.81640625" style="2"/>
    <col min="2" max="2" width="19.81640625" customWidth="1"/>
    <col min="3" max="3" width="15.54296875" bestFit="1" customWidth="1"/>
    <col min="4" max="4" width="19.81640625" customWidth="1"/>
    <col min="5" max="5" width="46.1796875" style="1" customWidth="1"/>
    <col min="6" max="6" width="37.08984375" style="1" customWidth="1"/>
    <col min="7" max="7" width="11" customWidth="1"/>
  </cols>
  <sheetData>
    <row r="1" spans="1:7" ht="21.5" thickBot="1" x14ac:dyDescent="0.55000000000000004">
      <c r="A1" s="42" t="s">
        <v>20</v>
      </c>
      <c r="B1" s="43"/>
      <c r="C1" s="43"/>
      <c r="D1" s="43"/>
      <c r="E1" s="43"/>
      <c r="F1" s="43"/>
      <c r="G1" s="43"/>
    </row>
    <row r="2" spans="1:7" ht="29.25" customHeight="1" thickBot="1" x14ac:dyDescent="0.4">
      <c r="A2" s="15" t="s">
        <v>0</v>
      </c>
      <c r="B2" s="16" t="s">
        <v>7</v>
      </c>
      <c r="C2" s="16" t="s">
        <v>8</v>
      </c>
      <c r="D2" s="17" t="s">
        <v>9</v>
      </c>
      <c r="E2" s="18" t="s">
        <v>11</v>
      </c>
      <c r="F2" s="18" t="s">
        <v>19</v>
      </c>
      <c r="G2" s="18" t="s">
        <v>47</v>
      </c>
    </row>
    <row r="3" spans="1:7" ht="20" x14ac:dyDescent="0.35">
      <c r="A3" s="25">
        <v>1</v>
      </c>
      <c r="B3" s="38" t="s">
        <v>85</v>
      </c>
      <c r="C3" s="26">
        <v>90275009</v>
      </c>
      <c r="D3" s="40">
        <v>98682356</v>
      </c>
      <c r="E3" s="27" t="s">
        <v>22</v>
      </c>
      <c r="F3" s="27" t="s">
        <v>18</v>
      </c>
      <c r="G3" s="32" t="s">
        <v>45</v>
      </c>
    </row>
    <row r="4" spans="1:7" ht="15" thickBot="1" x14ac:dyDescent="0.4">
      <c r="A4" s="28">
        <v>2</v>
      </c>
      <c r="B4" s="39"/>
      <c r="C4" s="22">
        <v>21055594</v>
      </c>
      <c r="D4" s="41"/>
      <c r="E4" s="23" t="s">
        <v>23</v>
      </c>
      <c r="F4" s="24" t="s">
        <v>57</v>
      </c>
      <c r="G4" s="13" t="s">
        <v>45</v>
      </c>
    </row>
    <row r="5" spans="1:7" x14ac:dyDescent="0.35">
      <c r="A5" s="25">
        <v>3</v>
      </c>
      <c r="B5" s="39"/>
      <c r="C5" s="22">
        <v>21055593</v>
      </c>
      <c r="D5" s="41"/>
      <c r="E5" s="23" t="s">
        <v>31</v>
      </c>
      <c r="F5" s="24" t="s">
        <v>54</v>
      </c>
      <c r="G5" s="13" t="s">
        <v>45</v>
      </c>
    </row>
    <row r="6" spans="1:7" ht="14.5" customHeight="1" thickBot="1" x14ac:dyDescent="0.4">
      <c r="A6" s="28">
        <v>4</v>
      </c>
      <c r="B6" s="12" t="s">
        <v>10</v>
      </c>
      <c r="C6" s="12">
        <v>20256318</v>
      </c>
      <c r="D6" s="12">
        <v>98840663</v>
      </c>
      <c r="E6" s="21" t="s">
        <v>41</v>
      </c>
      <c r="F6" s="21" t="s">
        <v>42</v>
      </c>
      <c r="G6" s="13" t="s">
        <v>44</v>
      </c>
    </row>
    <row r="7" spans="1:7" x14ac:dyDescent="0.35">
      <c r="A7" s="25">
        <v>5</v>
      </c>
      <c r="B7" s="39" t="s">
        <v>24</v>
      </c>
      <c r="C7" s="20">
        <v>21432817</v>
      </c>
      <c r="D7" s="41">
        <v>91154419</v>
      </c>
      <c r="E7" s="21" t="s">
        <v>25</v>
      </c>
      <c r="F7" s="21" t="s">
        <v>48</v>
      </c>
      <c r="G7" s="13" t="s">
        <v>44</v>
      </c>
    </row>
    <row r="8" spans="1:7" ht="15" thickBot="1" x14ac:dyDescent="0.4">
      <c r="A8" s="28">
        <v>6</v>
      </c>
      <c r="B8" s="39"/>
      <c r="C8" s="20">
        <v>21422079</v>
      </c>
      <c r="D8" s="41"/>
      <c r="E8" s="21" t="s">
        <v>58</v>
      </c>
      <c r="F8" s="21" t="s">
        <v>59</v>
      </c>
      <c r="G8" s="13" t="s">
        <v>44</v>
      </c>
    </row>
    <row r="9" spans="1:7" x14ac:dyDescent="0.35">
      <c r="A9" s="25">
        <v>7</v>
      </c>
      <c r="B9" s="39"/>
      <c r="C9" s="20">
        <v>21417344</v>
      </c>
      <c r="D9" s="41"/>
      <c r="E9" s="21" t="s">
        <v>60</v>
      </c>
      <c r="F9" s="21" t="s">
        <v>61</v>
      </c>
      <c r="G9" s="13" t="s">
        <v>44</v>
      </c>
    </row>
    <row r="10" spans="1:7" ht="15" thickBot="1" x14ac:dyDescent="0.4">
      <c r="A10" s="28">
        <v>8</v>
      </c>
      <c r="B10" s="39"/>
      <c r="C10" s="20">
        <v>21412529</v>
      </c>
      <c r="D10" s="41"/>
      <c r="E10" s="21" t="s">
        <v>26</v>
      </c>
      <c r="F10" s="21" t="s">
        <v>49</v>
      </c>
      <c r="G10" s="13" t="s">
        <v>44</v>
      </c>
    </row>
    <row r="11" spans="1:7" x14ac:dyDescent="0.35">
      <c r="A11" s="25">
        <v>9</v>
      </c>
      <c r="B11" s="39"/>
      <c r="C11" s="20">
        <v>21422081</v>
      </c>
      <c r="D11" s="41"/>
      <c r="E11" s="21" t="s">
        <v>55</v>
      </c>
      <c r="F11" s="21" t="s">
        <v>56</v>
      </c>
      <c r="G11" s="13" t="s">
        <v>44</v>
      </c>
    </row>
    <row r="12" spans="1:7" ht="15" thickBot="1" x14ac:dyDescent="0.4">
      <c r="A12" s="28">
        <v>10</v>
      </c>
      <c r="B12" s="39"/>
      <c r="C12" s="20">
        <v>21422088</v>
      </c>
      <c r="D12" s="41"/>
      <c r="E12" s="21" t="s">
        <v>29</v>
      </c>
      <c r="F12" s="21" t="s">
        <v>14</v>
      </c>
      <c r="G12" s="13" t="s">
        <v>44</v>
      </c>
    </row>
    <row r="13" spans="1:7" x14ac:dyDescent="0.35">
      <c r="A13" s="25">
        <v>11</v>
      </c>
      <c r="B13" s="39"/>
      <c r="C13" s="20">
        <v>21433480</v>
      </c>
      <c r="D13" s="41"/>
      <c r="E13" s="21" t="s">
        <v>67</v>
      </c>
      <c r="F13" s="21" t="s">
        <v>66</v>
      </c>
      <c r="G13" s="13" t="s">
        <v>44</v>
      </c>
    </row>
    <row r="14" spans="1:7" ht="15" thickBot="1" x14ac:dyDescent="0.4">
      <c r="A14" s="28">
        <v>12</v>
      </c>
      <c r="B14" s="39"/>
      <c r="C14" s="20">
        <v>21433484</v>
      </c>
      <c r="D14" s="41"/>
      <c r="E14" s="21" t="s">
        <v>90</v>
      </c>
      <c r="F14" s="21" t="s">
        <v>68</v>
      </c>
      <c r="G14" s="13" t="s">
        <v>44</v>
      </c>
    </row>
    <row r="15" spans="1:7" x14ac:dyDescent="0.35">
      <c r="A15" s="25">
        <v>13</v>
      </c>
      <c r="B15" s="39"/>
      <c r="C15" s="20">
        <v>90966400</v>
      </c>
      <c r="D15" s="41"/>
      <c r="E15" s="21" t="s">
        <v>1</v>
      </c>
      <c r="F15" s="21" t="s">
        <v>16</v>
      </c>
      <c r="G15" s="13" t="s">
        <v>44</v>
      </c>
    </row>
    <row r="16" spans="1:7" ht="15" thickBot="1" x14ac:dyDescent="0.4">
      <c r="A16" s="28">
        <v>14</v>
      </c>
      <c r="B16" s="39"/>
      <c r="C16" s="20">
        <v>91005113</v>
      </c>
      <c r="D16" s="41"/>
      <c r="E16" s="21" t="s">
        <v>30</v>
      </c>
      <c r="F16" s="21" t="s">
        <v>15</v>
      </c>
      <c r="G16" s="13" t="s">
        <v>44</v>
      </c>
    </row>
    <row r="17" spans="1:7" x14ac:dyDescent="0.35">
      <c r="A17" s="25">
        <v>15</v>
      </c>
      <c r="B17" s="39"/>
      <c r="C17" s="20">
        <v>90947730</v>
      </c>
      <c r="D17" s="41"/>
      <c r="E17" s="21" t="s">
        <v>28</v>
      </c>
      <c r="F17" s="21" t="s">
        <v>13</v>
      </c>
      <c r="G17" s="13" t="s">
        <v>44</v>
      </c>
    </row>
    <row r="18" spans="1:7" ht="15" thickBot="1" x14ac:dyDescent="0.4">
      <c r="A18" s="28">
        <v>16</v>
      </c>
      <c r="B18" s="39"/>
      <c r="C18" s="20">
        <v>91305780</v>
      </c>
      <c r="D18" s="41"/>
      <c r="E18" s="21" t="s">
        <v>2</v>
      </c>
      <c r="F18" s="21" t="s">
        <v>17</v>
      </c>
      <c r="G18" s="13" t="s">
        <v>44</v>
      </c>
    </row>
    <row r="19" spans="1:7" ht="15.65" customHeight="1" x14ac:dyDescent="0.35">
      <c r="A19" s="25">
        <v>17</v>
      </c>
      <c r="B19" s="39" t="s">
        <v>89</v>
      </c>
      <c r="C19" s="20">
        <v>21309188</v>
      </c>
      <c r="D19" s="41">
        <v>98682356</v>
      </c>
      <c r="E19" s="21" t="s">
        <v>36</v>
      </c>
      <c r="F19" s="21" t="s">
        <v>83</v>
      </c>
      <c r="G19" s="13" t="s">
        <v>45</v>
      </c>
    </row>
    <row r="20" spans="1:7" ht="15.65" customHeight="1" thickBot="1" x14ac:dyDescent="0.4">
      <c r="A20" s="28">
        <v>18</v>
      </c>
      <c r="B20" s="39"/>
      <c r="C20" s="20">
        <v>21302239</v>
      </c>
      <c r="D20" s="41"/>
      <c r="E20" s="21" t="s">
        <v>37</v>
      </c>
      <c r="F20" s="21" t="s">
        <v>83</v>
      </c>
      <c r="G20" s="13" t="s">
        <v>45</v>
      </c>
    </row>
    <row r="21" spans="1:7" ht="15.65" customHeight="1" x14ac:dyDescent="0.35">
      <c r="A21" s="25">
        <v>19</v>
      </c>
      <c r="B21" s="39"/>
      <c r="C21" s="19">
        <v>21302239</v>
      </c>
      <c r="D21" s="41"/>
      <c r="E21" s="21" t="s">
        <v>38</v>
      </c>
      <c r="F21" s="21" t="s">
        <v>83</v>
      </c>
      <c r="G21" s="13" t="s">
        <v>45</v>
      </c>
    </row>
    <row r="22" spans="1:7" ht="15.65" customHeight="1" thickBot="1" x14ac:dyDescent="0.4">
      <c r="A22" s="28">
        <v>20</v>
      </c>
      <c r="B22" s="39"/>
      <c r="C22" s="20">
        <v>21302240</v>
      </c>
      <c r="D22" s="41"/>
      <c r="E22" s="21" t="s">
        <v>39</v>
      </c>
      <c r="F22" s="21" t="s">
        <v>83</v>
      </c>
      <c r="G22" s="13" t="s">
        <v>45</v>
      </c>
    </row>
    <row r="23" spans="1:7" ht="15.65" customHeight="1" x14ac:dyDescent="0.35">
      <c r="A23" s="25">
        <v>21</v>
      </c>
      <c r="B23" s="39"/>
      <c r="C23" s="20">
        <v>21302240</v>
      </c>
      <c r="D23" s="41"/>
      <c r="E23" s="21" t="s">
        <v>40</v>
      </c>
      <c r="F23" s="21" t="s">
        <v>83</v>
      </c>
      <c r="G23" s="13" t="s">
        <v>45</v>
      </c>
    </row>
    <row r="24" spans="1:7" ht="15" thickBot="1" x14ac:dyDescent="0.4">
      <c r="A24" s="28">
        <v>22</v>
      </c>
      <c r="B24" s="44" t="s">
        <v>88</v>
      </c>
      <c r="C24" s="20">
        <v>21090111</v>
      </c>
      <c r="D24" s="45">
        <v>90970907</v>
      </c>
      <c r="E24" s="13" t="s">
        <v>50</v>
      </c>
      <c r="F24" s="13" t="s">
        <v>51</v>
      </c>
      <c r="G24" s="13" t="s">
        <v>46</v>
      </c>
    </row>
    <row r="25" spans="1:7" x14ac:dyDescent="0.35">
      <c r="A25" s="25">
        <v>23</v>
      </c>
      <c r="B25" s="44"/>
      <c r="C25" s="20">
        <v>21090112</v>
      </c>
      <c r="D25" s="45"/>
      <c r="E25" s="13" t="s">
        <v>52</v>
      </c>
      <c r="F25" s="13" t="s">
        <v>53</v>
      </c>
      <c r="G25" s="13" t="s">
        <v>46</v>
      </c>
    </row>
    <row r="26" spans="1:7" ht="15" thickBot="1" x14ac:dyDescent="0.4">
      <c r="A26" s="28">
        <v>24</v>
      </c>
      <c r="B26" s="36" t="s">
        <v>87</v>
      </c>
      <c r="C26" s="20">
        <v>21309189</v>
      </c>
      <c r="D26" s="36">
        <v>98682356</v>
      </c>
      <c r="E26" s="21" t="s">
        <v>98</v>
      </c>
      <c r="F26" s="21" t="s">
        <v>84</v>
      </c>
      <c r="G26" s="13" t="s">
        <v>46</v>
      </c>
    </row>
    <row r="27" spans="1:7" x14ac:dyDescent="0.35">
      <c r="A27" s="25">
        <v>25</v>
      </c>
      <c r="B27" s="36"/>
      <c r="C27" s="20">
        <v>21309189</v>
      </c>
      <c r="D27" s="36"/>
      <c r="E27" s="21" t="s">
        <v>99</v>
      </c>
      <c r="F27" s="21" t="s">
        <v>84</v>
      </c>
      <c r="G27" s="13" t="s">
        <v>46</v>
      </c>
    </row>
    <row r="28" spans="1:7" ht="15" thickBot="1" x14ac:dyDescent="0.4">
      <c r="A28" s="28">
        <v>26</v>
      </c>
      <c r="B28" s="36"/>
      <c r="C28" s="20">
        <v>21309190</v>
      </c>
      <c r="D28" s="36"/>
      <c r="E28" s="21" t="s">
        <v>43</v>
      </c>
      <c r="F28" s="21" t="s">
        <v>84</v>
      </c>
      <c r="G28" s="13" t="s">
        <v>46</v>
      </c>
    </row>
    <row r="29" spans="1:7" x14ac:dyDescent="0.35">
      <c r="A29" s="25">
        <v>27</v>
      </c>
      <c r="B29" s="36" t="s">
        <v>86</v>
      </c>
      <c r="C29" s="20">
        <v>21470269</v>
      </c>
      <c r="D29" s="36">
        <v>91154419</v>
      </c>
      <c r="E29" s="14" t="s">
        <v>32</v>
      </c>
      <c r="F29" s="14" t="s">
        <v>93</v>
      </c>
      <c r="G29" s="13" t="s">
        <v>46</v>
      </c>
    </row>
    <row r="30" spans="1:7" ht="15" thickBot="1" x14ac:dyDescent="0.4">
      <c r="A30" s="28">
        <v>28</v>
      </c>
      <c r="B30" s="36"/>
      <c r="C30" s="20">
        <v>21453170</v>
      </c>
      <c r="D30" s="36"/>
      <c r="E30" s="14" t="s">
        <v>33</v>
      </c>
      <c r="F30" s="14" t="s">
        <v>94</v>
      </c>
      <c r="G30" s="13" t="s">
        <v>46</v>
      </c>
    </row>
    <row r="31" spans="1:7" x14ac:dyDescent="0.35">
      <c r="A31" s="25">
        <v>29</v>
      </c>
      <c r="B31" s="36"/>
      <c r="C31" s="20">
        <v>21470270</v>
      </c>
      <c r="D31" s="36"/>
      <c r="E31" s="14" t="s">
        <v>34</v>
      </c>
      <c r="F31" s="14" t="s">
        <v>95</v>
      </c>
      <c r="G31" s="13" t="s">
        <v>46</v>
      </c>
    </row>
    <row r="32" spans="1:7" ht="15" thickBot="1" x14ac:dyDescent="0.4">
      <c r="A32" s="28">
        <v>30</v>
      </c>
      <c r="B32" s="36"/>
      <c r="C32" s="20">
        <v>21448509</v>
      </c>
      <c r="D32" s="36"/>
      <c r="E32" s="14" t="s">
        <v>91</v>
      </c>
      <c r="F32" s="14" t="s">
        <v>96</v>
      </c>
      <c r="G32" s="13" t="s">
        <v>46</v>
      </c>
    </row>
    <row r="33" spans="1:7" x14ac:dyDescent="0.35">
      <c r="A33" s="25">
        <v>31</v>
      </c>
      <c r="B33" s="36"/>
      <c r="C33" s="20">
        <v>21453169</v>
      </c>
      <c r="D33" s="36"/>
      <c r="E33" s="14" t="s">
        <v>92</v>
      </c>
      <c r="F33" s="14" t="s">
        <v>97</v>
      </c>
      <c r="G33" s="13" t="s">
        <v>46</v>
      </c>
    </row>
    <row r="34" spans="1:7" ht="15" thickBot="1" x14ac:dyDescent="0.4">
      <c r="A34" s="28">
        <v>32</v>
      </c>
      <c r="B34" s="36" t="s">
        <v>3</v>
      </c>
      <c r="C34" s="20">
        <v>95619314</v>
      </c>
      <c r="D34" s="20">
        <v>95625385</v>
      </c>
      <c r="E34" s="14" t="s">
        <v>100</v>
      </c>
      <c r="F34" s="34" t="s">
        <v>101</v>
      </c>
      <c r="G34" s="31"/>
    </row>
    <row r="35" spans="1:7" x14ac:dyDescent="0.35">
      <c r="A35" s="25">
        <v>33</v>
      </c>
      <c r="B35" s="36"/>
      <c r="C35" s="20">
        <v>98585629</v>
      </c>
      <c r="D35" s="20">
        <v>99790891</v>
      </c>
      <c r="E35" s="14" t="s">
        <v>4</v>
      </c>
      <c r="F35" s="34" t="s">
        <v>102</v>
      </c>
      <c r="G35" s="31"/>
    </row>
    <row r="36" spans="1:7" ht="15" thickBot="1" x14ac:dyDescent="0.4">
      <c r="A36" s="28">
        <v>34</v>
      </c>
      <c r="B36" s="36"/>
      <c r="C36" s="20">
        <v>98967898</v>
      </c>
      <c r="D36" s="20">
        <v>95121900</v>
      </c>
      <c r="E36" s="14" t="s">
        <v>5</v>
      </c>
      <c r="F36" s="34" t="s">
        <v>103</v>
      </c>
      <c r="G36" s="31"/>
    </row>
    <row r="37" spans="1:7" x14ac:dyDescent="0.35">
      <c r="A37" s="25">
        <v>35</v>
      </c>
      <c r="B37" s="36"/>
      <c r="C37" s="20">
        <v>15146665</v>
      </c>
      <c r="D37" s="20">
        <v>95146432</v>
      </c>
      <c r="E37" s="14" t="s">
        <v>6</v>
      </c>
      <c r="F37" s="34" t="s">
        <v>3</v>
      </c>
      <c r="G37" s="31"/>
    </row>
    <row r="38" spans="1:7" ht="15" thickBot="1" x14ac:dyDescent="0.4">
      <c r="A38" s="28">
        <v>36</v>
      </c>
      <c r="B38" s="37"/>
      <c r="C38" s="29">
        <v>91879323</v>
      </c>
      <c r="D38" s="29">
        <v>90409469</v>
      </c>
      <c r="E38" s="30" t="s">
        <v>21</v>
      </c>
      <c r="F38" s="35" t="s">
        <v>3</v>
      </c>
      <c r="G38" s="33"/>
    </row>
  </sheetData>
  <autoFilter ref="A2:F33" xr:uid="{00000000-0001-0000-0000-000000000000}"/>
  <mergeCells count="14">
    <mergeCell ref="A1:G1"/>
    <mergeCell ref="B29:B33"/>
    <mergeCell ref="D29:D33"/>
    <mergeCell ref="B19:B23"/>
    <mergeCell ref="D19:D23"/>
    <mergeCell ref="B24:B25"/>
    <mergeCell ref="D24:D25"/>
    <mergeCell ref="B26:B28"/>
    <mergeCell ref="D26:D28"/>
    <mergeCell ref="B34:B38"/>
    <mergeCell ref="B3:B5"/>
    <mergeCell ref="D3:D5"/>
    <mergeCell ref="B7:B18"/>
    <mergeCell ref="D7:D18"/>
  </mergeCells>
  <pageMargins left="0.7" right="0.7" top="0.75" bottom="0.75" header="0.3" footer="0.3"/>
  <pageSetup paperSize="9" orientation="portrait" r:id="rId1"/>
  <headerFooter>
    <oddHeader>&amp;R&amp;"Calibri"&amp;10&amp;K000000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E49A-B10B-405A-BD17-CC74FEEB56D2}">
  <dimension ref="A1:G23"/>
  <sheetViews>
    <sheetView workbookViewId="0">
      <selection activeCell="C22" sqref="C22"/>
    </sheetView>
  </sheetViews>
  <sheetFormatPr defaultRowHeight="14.5" x14ac:dyDescent="0.35"/>
  <cols>
    <col min="1" max="1" width="5.08984375" customWidth="1"/>
    <col min="2" max="2" width="38.08984375" customWidth="1"/>
    <col min="3" max="3" width="7.90625" bestFit="1" customWidth="1"/>
    <col min="4" max="4" width="38.6328125" customWidth="1"/>
    <col min="5" max="5" width="11.90625" bestFit="1" customWidth="1"/>
    <col min="6" max="6" width="17" customWidth="1"/>
    <col min="7" max="7" width="16.6328125" customWidth="1"/>
  </cols>
  <sheetData>
    <row r="1" spans="1:7" ht="15" thickBot="1" x14ac:dyDescent="0.4">
      <c r="A1" s="3" t="s">
        <v>69</v>
      </c>
      <c r="B1" s="3" t="s">
        <v>70</v>
      </c>
      <c r="C1" s="4" t="s">
        <v>71</v>
      </c>
      <c r="D1" s="4" t="s">
        <v>72</v>
      </c>
      <c r="E1" s="3" t="s">
        <v>73</v>
      </c>
      <c r="F1" s="3" t="s">
        <v>77</v>
      </c>
      <c r="G1" s="3" t="s">
        <v>74</v>
      </c>
    </row>
    <row r="2" spans="1:7" ht="15" thickBot="1" x14ac:dyDescent="0.4">
      <c r="A2" s="8">
        <v>1</v>
      </c>
      <c r="B2" s="5" t="s">
        <v>25</v>
      </c>
      <c r="C2" s="5">
        <v>21080372</v>
      </c>
      <c r="D2" s="5" t="s">
        <v>48</v>
      </c>
      <c r="E2" s="5" t="s">
        <v>75</v>
      </c>
      <c r="F2" s="7">
        <v>2.5000000000000001E-3</v>
      </c>
      <c r="G2" s="5" t="s">
        <v>76</v>
      </c>
    </row>
    <row r="3" spans="1:7" ht="15" thickBot="1" x14ac:dyDescent="0.4">
      <c r="A3" s="9">
        <v>2</v>
      </c>
      <c r="B3" s="5" t="s">
        <v>58</v>
      </c>
      <c r="C3" s="5">
        <v>21045244</v>
      </c>
      <c r="D3" s="5" t="s">
        <v>59</v>
      </c>
      <c r="E3" s="6" t="s">
        <v>75</v>
      </c>
      <c r="F3" s="7">
        <v>2.5000000000000001E-3</v>
      </c>
      <c r="G3" s="6" t="s">
        <v>76</v>
      </c>
    </row>
    <row r="4" spans="1:7" ht="15" thickBot="1" x14ac:dyDescent="0.4">
      <c r="A4" s="9">
        <v>3</v>
      </c>
      <c r="B4" s="5" t="s">
        <v>60</v>
      </c>
      <c r="C4" s="5">
        <v>21055587</v>
      </c>
      <c r="D4" s="5" t="s">
        <v>61</v>
      </c>
      <c r="E4" s="6" t="s">
        <v>75</v>
      </c>
      <c r="F4" s="7">
        <v>2.5000000000000001E-3</v>
      </c>
      <c r="G4" s="6" t="s">
        <v>76</v>
      </c>
    </row>
    <row r="5" spans="1:7" ht="15" thickBot="1" x14ac:dyDescent="0.4">
      <c r="A5" s="9">
        <v>4</v>
      </c>
      <c r="B5" s="5" t="s">
        <v>26</v>
      </c>
      <c r="C5" s="5">
        <v>21085860</v>
      </c>
      <c r="D5" s="5" t="s">
        <v>49</v>
      </c>
      <c r="E5" s="6" t="s">
        <v>75</v>
      </c>
      <c r="F5" s="7">
        <v>2.5000000000000001E-3</v>
      </c>
      <c r="G5" s="6" t="s">
        <v>76</v>
      </c>
    </row>
    <row r="6" spans="1:7" ht="15" thickBot="1" x14ac:dyDescent="0.4">
      <c r="A6" s="9">
        <v>5</v>
      </c>
      <c r="B6" s="5" t="s">
        <v>55</v>
      </c>
      <c r="C6" s="5">
        <v>21050216</v>
      </c>
      <c r="D6" s="5" t="s">
        <v>56</v>
      </c>
      <c r="E6" s="6" t="s">
        <v>75</v>
      </c>
      <c r="F6" s="7">
        <v>2.5000000000000001E-3</v>
      </c>
      <c r="G6" s="6" t="s">
        <v>76</v>
      </c>
    </row>
    <row r="7" spans="1:7" ht="15" thickBot="1" x14ac:dyDescent="0.4">
      <c r="A7" s="9">
        <v>6</v>
      </c>
      <c r="B7" s="5" t="s">
        <v>27</v>
      </c>
      <c r="C7" s="5">
        <v>91043645</v>
      </c>
      <c r="D7" s="5" t="s">
        <v>12</v>
      </c>
      <c r="E7" s="6" t="s">
        <v>75</v>
      </c>
      <c r="F7" s="7">
        <v>2.5000000000000001E-3</v>
      </c>
      <c r="G7" s="6" t="s">
        <v>76</v>
      </c>
    </row>
    <row r="8" spans="1:7" ht="15" thickBot="1" x14ac:dyDescent="0.4">
      <c r="A8" s="9">
        <v>7</v>
      </c>
      <c r="B8" s="5" t="s">
        <v>28</v>
      </c>
      <c r="C8" s="5">
        <v>90947730</v>
      </c>
      <c r="D8" s="5" t="s">
        <v>13</v>
      </c>
      <c r="E8" s="6" t="s">
        <v>75</v>
      </c>
      <c r="F8" s="7">
        <v>2.5000000000000001E-3</v>
      </c>
      <c r="G8" s="6" t="s">
        <v>76</v>
      </c>
    </row>
    <row r="9" spans="1:7" ht="15" thickBot="1" x14ac:dyDescent="0.4">
      <c r="A9" s="9">
        <v>8</v>
      </c>
      <c r="B9" s="5" t="s">
        <v>29</v>
      </c>
      <c r="C9" s="5">
        <v>21075363</v>
      </c>
      <c r="D9" s="5" t="s">
        <v>14</v>
      </c>
      <c r="E9" s="6" t="s">
        <v>75</v>
      </c>
      <c r="F9" s="7">
        <v>2.5000000000000001E-3</v>
      </c>
      <c r="G9" s="6" t="s">
        <v>76</v>
      </c>
    </row>
    <row r="10" spans="1:7" ht="15" thickBot="1" x14ac:dyDescent="0.4">
      <c r="A10" s="9">
        <v>9</v>
      </c>
      <c r="B10" s="5" t="s">
        <v>67</v>
      </c>
      <c r="C10" s="5">
        <v>21117594</v>
      </c>
      <c r="D10" s="5" t="s">
        <v>66</v>
      </c>
      <c r="E10" s="6" t="s">
        <v>75</v>
      </c>
      <c r="F10" s="7">
        <v>2.5000000000000001E-3</v>
      </c>
      <c r="G10" s="6" t="s">
        <v>76</v>
      </c>
    </row>
    <row r="11" spans="1:7" ht="15" thickBot="1" x14ac:dyDescent="0.4">
      <c r="A11" s="9">
        <v>10</v>
      </c>
      <c r="B11" s="5" t="s">
        <v>30</v>
      </c>
      <c r="C11" s="5">
        <v>91005113</v>
      </c>
      <c r="D11" s="5" t="s">
        <v>15</v>
      </c>
      <c r="E11" s="6" t="s">
        <v>75</v>
      </c>
      <c r="F11" s="7">
        <v>2.5000000000000001E-3</v>
      </c>
      <c r="G11" s="6" t="s">
        <v>76</v>
      </c>
    </row>
    <row r="12" spans="1:7" ht="15" thickBot="1" x14ac:dyDescent="0.4">
      <c r="A12" s="9">
        <v>11</v>
      </c>
      <c r="B12" s="5" t="s">
        <v>1</v>
      </c>
      <c r="C12" s="5">
        <v>90966400</v>
      </c>
      <c r="D12" s="5" t="s">
        <v>16</v>
      </c>
      <c r="E12" s="6" t="s">
        <v>75</v>
      </c>
      <c r="F12" s="7">
        <v>2.5000000000000001E-3</v>
      </c>
      <c r="G12" s="6" t="s">
        <v>76</v>
      </c>
    </row>
    <row r="13" spans="1:7" ht="15" thickBot="1" x14ac:dyDescent="0.4">
      <c r="A13" s="9">
        <v>12</v>
      </c>
      <c r="B13" s="5" t="s">
        <v>2</v>
      </c>
      <c r="C13" s="5">
        <v>91305780</v>
      </c>
      <c r="D13" s="5" t="s">
        <v>17</v>
      </c>
      <c r="E13" s="6" t="s">
        <v>75</v>
      </c>
      <c r="F13" s="7">
        <v>2.5000000000000001E-3</v>
      </c>
      <c r="G13" s="6" t="s">
        <v>76</v>
      </c>
    </row>
    <row r="14" spans="1:7" ht="15" thickBot="1" x14ac:dyDescent="0.4">
      <c r="A14" s="9">
        <v>13</v>
      </c>
      <c r="B14" s="5" t="s">
        <v>32</v>
      </c>
      <c r="C14" s="5">
        <v>21113420</v>
      </c>
      <c r="D14" s="5" t="s">
        <v>62</v>
      </c>
      <c r="E14" s="6" t="s">
        <v>75</v>
      </c>
      <c r="F14" s="7">
        <v>2.5000000000000001E-3</v>
      </c>
      <c r="G14" s="6" t="s">
        <v>76</v>
      </c>
    </row>
    <row r="15" spans="1:7" ht="15" thickBot="1" x14ac:dyDescent="0.4">
      <c r="A15" s="9">
        <v>14</v>
      </c>
      <c r="B15" s="5" t="s">
        <v>33</v>
      </c>
      <c r="C15" s="5">
        <v>21113422</v>
      </c>
      <c r="D15" s="5" t="s">
        <v>63</v>
      </c>
      <c r="E15" s="6" t="s">
        <v>75</v>
      </c>
      <c r="F15" s="7">
        <v>2.5000000000000001E-3</v>
      </c>
      <c r="G15" s="6" t="s">
        <v>76</v>
      </c>
    </row>
    <row r="16" spans="1:7" ht="15" thickBot="1" x14ac:dyDescent="0.4">
      <c r="A16" s="9">
        <v>15</v>
      </c>
      <c r="B16" s="5" t="s">
        <v>34</v>
      </c>
      <c r="C16" s="5">
        <v>21113419</v>
      </c>
      <c r="D16" s="5" t="s">
        <v>64</v>
      </c>
      <c r="E16" s="6" t="s">
        <v>75</v>
      </c>
      <c r="F16" s="7">
        <v>2.5000000000000001E-3</v>
      </c>
      <c r="G16" s="6" t="s">
        <v>76</v>
      </c>
    </row>
    <row r="17" spans="1:7" ht="15" thickBot="1" x14ac:dyDescent="0.4">
      <c r="A17" s="9">
        <v>16</v>
      </c>
      <c r="B17" s="5" t="s">
        <v>35</v>
      </c>
      <c r="C17" s="5">
        <v>21108509</v>
      </c>
      <c r="D17" s="5" t="s">
        <v>65</v>
      </c>
      <c r="E17" s="6" t="s">
        <v>75</v>
      </c>
      <c r="F17" s="7">
        <v>2.5000000000000001E-3</v>
      </c>
      <c r="G17" s="6" t="s">
        <v>76</v>
      </c>
    </row>
    <row r="21" spans="1:7" x14ac:dyDescent="0.35">
      <c r="D21" s="10">
        <f>1.5/0.42</f>
        <v>3.5714285714285716</v>
      </c>
    </row>
    <row r="23" spans="1:7" x14ac:dyDescent="0.35">
      <c r="D23">
        <f>1.8/0.42</f>
        <v>4.2857142857142856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1381-88E2-4464-B595-FEABD6DF5D65}">
  <dimension ref="A1:B5"/>
  <sheetViews>
    <sheetView workbookViewId="0"/>
  </sheetViews>
  <sheetFormatPr defaultRowHeight="14.5" x14ac:dyDescent="0.35"/>
  <cols>
    <col min="1" max="1" width="42.1796875" bestFit="1" customWidth="1"/>
    <col min="2" max="2" width="9.81640625" bestFit="1" customWidth="1"/>
  </cols>
  <sheetData>
    <row r="1" spans="1:2" x14ac:dyDescent="0.35">
      <c r="A1" s="11" t="s">
        <v>78</v>
      </c>
      <c r="B1" s="11"/>
    </row>
    <row r="2" spans="1:2" x14ac:dyDescent="0.35">
      <c r="A2" s="11" t="s">
        <v>79</v>
      </c>
      <c r="B2" s="11">
        <v>430638552</v>
      </c>
    </row>
    <row r="3" spans="1:2" x14ac:dyDescent="0.35">
      <c r="A3" s="11" t="s">
        <v>80</v>
      </c>
      <c r="B3" s="11">
        <v>434518936</v>
      </c>
    </row>
    <row r="4" spans="1:2" x14ac:dyDescent="0.35">
      <c r="A4" t="s">
        <v>81</v>
      </c>
      <c r="B4">
        <v>5181732</v>
      </c>
    </row>
    <row r="5" spans="1:2" x14ac:dyDescent="0.35">
      <c r="A5" t="s">
        <v>82</v>
      </c>
      <c r="B5">
        <v>562688568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c4e408-5b59-4c93-827c-d4216da5dcfe">
      <Value>14</Value>
    </TaxCatchAll>
    <lcf76f155ced4ddcb4097134ff3c332f xmlns="cc9e3bf9-6cff-4c16-a9ea-a711985d8757">
      <Terms xmlns="http://schemas.microsoft.com/office/infopath/2007/PartnerControls"/>
    </lcf76f155ced4ddcb4097134ff3c332f>
    <i0f84bba906045b4af568ee102a52dcb xmlns="c8c4e408-5b59-4c93-827c-d4216da5dcfe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40A1CAFFE0E42B161BB0B96B19873" ma:contentTypeVersion="20" ma:contentTypeDescription="Create a new document." ma:contentTypeScope="" ma:versionID="4593275a7aa599dcb01fe6f944d6bb12">
  <xsd:schema xmlns:xsd="http://www.w3.org/2001/XMLSchema" xmlns:xs="http://www.w3.org/2001/XMLSchema" xmlns:p="http://schemas.microsoft.com/office/2006/metadata/properties" xmlns:ns2="cc9e3bf9-6cff-4c16-a9ea-a711985d8757" xmlns:ns3="c8c4e408-5b59-4c93-827c-d4216da5dcfe" targetNamespace="http://schemas.microsoft.com/office/2006/metadata/properties" ma:root="true" ma:fieldsID="f8e7f48d206513a71b455ba2bba6da04" ns2:_="" ns3:_="">
    <xsd:import namespace="cc9e3bf9-6cff-4c16-a9ea-a711985d8757"/>
    <xsd:import namespace="c8c4e408-5b59-4c93-827c-d4216da5d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e3bf9-6cff-4c16-a9ea-a711985d8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4e408-5b59-4c93-827c-d4216da5d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22a0f5-e515-4d2f-a8f2-441abe4b1f4a}" ma:internalName="TaxCatchAll" ma:showField="CatchAllData" ma:web="c8c4e408-5b59-4c93-827c-d4216da5d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7" nillable="true" ma:taxonomy="true" ma:internalName="i0f84bba906045b4af568ee102a52dcb" ma:taxonomyFieldName="RevIMBCS" ma:displayName="Retention Policy" ma:indexed="true" ma:default="14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D848C3-4401-4E7F-A7A6-E9991C2C7A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FA996C-CBA8-476B-B705-CF68740E8CBA}">
  <ds:schemaRefs>
    <ds:schemaRef ds:uri="http://schemas.microsoft.com/office/2006/metadata/properties"/>
    <ds:schemaRef ds:uri="http://schemas.microsoft.com/office/infopath/2007/PartnerControls"/>
    <ds:schemaRef ds:uri="c8c4e408-5b59-4c93-827c-d4216da5dcfe"/>
    <ds:schemaRef ds:uri="cc9e3bf9-6cff-4c16-a9ea-a711985d8757"/>
  </ds:schemaRefs>
</ds:datastoreItem>
</file>

<file path=customXml/itemProps3.xml><?xml version="1.0" encoding="utf-8"?>
<ds:datastoreItem xmlns:ds="http://schemas.openxmlformats.org/officeDocument/2006/customXml" ds:itemID="{40527B22-1FF9-407C-A5A0-AC86A42FA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e3bf9-6cff-4c16-a9ea-a711985d8757"/>
    <ds:schemaRef ds:uri="c8c4e408-5b59-4c93-827c-d4216da5d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FORMULA LIST Baddi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Chand, Ishwar</dc:creator>
  <cp:lastModifiedBy>Kumar, Chetan</cp:lastModifiedBy>
  <cp:lastPrinted>2025-12-06T10:16:29Z</cp:lastPrinted>
  <dcterms:created xsi:type="dcterms:W3CDTF">2015-06-05T18:17:20Z</dcterms:created>
  <dcterms:modified xsi:type="dcterms:W3CDTF">2026-02-05T09:46:45Z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0x01010091E40A1CAFFE0E42B161BB0B96B19873</vt:lpwstr>
  </property>
  <property fmtid="{D5CDD505-2E9C-101B-9397-08002B2CF9AE}" pid="3" name="MSIP_Label_a518e53f-798e-43aa-978d-c3fda1f3a682_Enabled">
    <vt:lpwstr>true</vt:lpwstr>
  </property>
  <property fmtid="{D5CDD505-2E9C-101B-9397-08002B2CF9AE}" pid="4" name="MSIP_Label_a518e53f-798e-43aa-978d-c3fda1f3a682_SetDate">
    <vt:lpwstr>2024-01-18T07:54:34Z</vt:lpwstr>
  </property>
  <property fmtid="{D5CDD505-2E9C-101B-9397-08002B2CF9AE}" pid="5" name="MSIP_Label_a518e53f-798e-43aa-978d-c3fda1f3a682_Method">
    <vt:lpwstr>Privileged</vt:lpwstr>
  </property>
  <property fmtid="{D5CDD505-2E9C-101B-9397-08002B2CF9AE}" pid="6" name="MSIP_Label_a518e53f-798e-43aa-978d-c3fda1f3a682_Name">
    <vt:lpwstr>PG - Internal Use</vt:lpwstr>
  </property>
  <property fmtid="{D5CDD505-2E9C-101B-9397-08002B2CF9AE}" pid="7" name="MSIP_Label_a518e53f-798e-43aa-978d-c3fda1f3a682_SiteId">
    <vt:lpwstr>3596192b-fdf5-4e2c-a6fa-acb706c963d8</vt:lpwstr>
  </property>
  <property fmtid="{D5CDD505-2E9C-101B-9397-08002B2CF9AE}" pid="8" name="MSIP_Label_a518e53f-798e-43aa-978d-c3fda1f3a682_ActionId">
    <vt:lpwstr>aa713f60-3bfb-41ca-bdb4-6f4d1dd20f37</vt:lpwstr>
  </property>
  <property fmtid="{D5CDD505-2E9C-101B-9397-08002B2CF9AE}" pid="9" name="MSIP_Label_a518e53f-798e-43aa-978d-c3fda1f3a682_ContentBits">
    <vt:lpwstr>1</vt:lpwstr>
  </property>
  <property fmtid="{D5CDD505-2E9C-101B-9397-08002B2CF9AE}" pid="10" name="MediaServiceImageTags">
    <vt:lpwstr/>
  </property>
  <property fmtid="{D5CDD505-2E9C-101B-9397-08002B2CF9AE}" pid="11" name="RevIMBCS">
    <vt:lpwstr>14;#Daily Work Documents [Standard]|c1df7c93-bf29-4bb4-a9f3-5b7aacc5e62b</vt:lpwstr>
  </property>
</Properties>
</file>